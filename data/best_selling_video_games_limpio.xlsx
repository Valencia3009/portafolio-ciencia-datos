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b3ab27f02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deo_games_clean" sheetId="1" r:id="R4c5c68a4768c4f92"/>
    <x:sheet xmlns:r="http://schemas.openxmlformats.org/officeDocument/2006/relationships" name="descripcion" sheetId="2" r:id="R488fe913f2274c4b"/>
    <x:sheet xmlns:r="http://schemas.openxmlformats.org/officeDocument/2006/relationships" name="resumen" sheetId="3" r:id="R49c7a2a04c21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0">
    <x:border/>
    <x:border/>
    <x:border>
      <x:left>
        <x:color rgb="1F4E79"/>
      </x:left>
      <x:right>
        <x:color rgb="D9E2F3"/>
      </x:right>
      <x:top>
        <x:color rgb="1F4E79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1F4E79"/>
      </x:top>
      <x:bottom>
        <x:color rgb="D9E2F3"/>
      </x:bottom>
    </x:border>
    <x:border>
      <x:left>
        <x:color rgb="D9E2F3"/>
      </x:left>
      <x:right>
        <x:color rgb="1F4E79"/>
      </x:right>
      <x:top>
        <x:color rgb="1F4E79"/>
      </x:top>
      <x:bottom>
        <x:color rgb="D9E2F3"/>
      </x:bottom>
    </x:border>
    <x:border>
      <x:left>
        <x:color rgb="1F4E79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1F4E79"/>
      </x:right>
      <x:top>
        <x:color rgb="D9E2F3"/>
      </x:top>
      <x:bottom>
        <x:color rgb="D9E2F3"/>
      </x:bottom>
    </x:border>
    <x:border>
      <x:left>
        <x:color rgb="1F4E79"/>
      </x:left>
      <x:right>
        <x:color rgb="D9E2F3"/>
      </x:right>
      <x:top>
        <x:color rgb="D9E2F3"/>
      </x:top>
      <x:bottom>
        <x:color rgb="1F4E79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1F4E79"/>
      </x:bottom>
    </x:border>
    <x:border>
      <x:left>
        <x:color rgb="D9E2F3"/>
      </x:left>
      <x:right>
        <x:color rgb="1F4E79"/>
      </x:right>
      <x:top>
        <x:color rgb="D9E2F3"/>
      </x:top>
      <x:bottom>
        <x:color rgb="1F4E79"/>
      </x:bottom>
    </x:border>
    <x:border>
      <x:left>
        <x:color rgb="1F4E79"/>
      </x:left>
      <x:right>
        <x:color rgb="D9E2F3"/>
      </x:right>
      <x:top>
        <x:color rgb="1F4E79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1F4E79"/>
      </x:top>
      <x:bottom>
        <x:color rgb="D9E2F3"/>
      </x:bottom>
    </x:border>
    <x:border>
      <x:left>
        <x:color rgb="D9E2F3"/>
      </x:left>
      <x:right>
        <x:color rgb="1F4E79"/>
      </x:right>
      <x:top>
        <x:color rgb="1F4E79"/>
      </x:top>
      <x:bottom>
        <x:color rgb="D9E2F3"/>
      </x:bottom>
    </x:border>
    <x:border>
      <x:left>
        <x:color rgb="1F4E79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1F4E79"/>
      </x:right>
      <x:top>
        <x:color rgb="D9E2F3"/>
      </x:top>
      <x:bottom>
        <x:color rgb="D9E2F3"/>
      </x:bottom>
    </x:border>
    <x:border>
      <x:left>
        <x:color rgb="1F4E79"/>
      </x:left>
      <x:right>
        <x:color rgb="D9E2F3"/>
      </x:right>
      <x:top>
        <x:color rgb="D9E2F3"/>
      </x:top>
      <x:bottom>
        <x:color rgb="1F4E79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1F4E79"/>
      </x:bottom>
    </x:border>
    <x:border>
      <x:left>
        <x:color rgb="D9E2F3"/>
      </x:left>
      <x:right>
        <x:color rgb="1F4E79"/>
      </x:right>
      <x:top>
        <x:color rgb="D9E2F3"/>
      </x:top>
      <x:bottom>
        <x:color rgb="1F4E79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/>
    <x:xf numFmtId="200" fontId="0" fillId="0" borderId="15" xfId="0" applyNumberFormat="1" applyFont="1" applyFill="1" applyBorder="1"/>
    <x:xf numFmtId="201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/>
    <x:xf numFmtId="200" fontId="0" fillId="0" borderId="18" xfId="0" applyNumberFormat="1" applyFont="1" applyFill="1" applyBorder="1"/>
    <x:xf numFmtId="201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0dfdd93704b6e" /><Relationship Type="http://schemas.openxmlformats.org/officeDocument/2006/relationships/theme" Target="/xl/theme/theme1.xml" Id="R21b3890d6901406c" /><Relationship Type="http://schemas.openxmlformats.org/officeDocument/2006/relationships/sharedStrings" Target="/xl/sharedStrings.xml" Id="Re784a391508e4f78" /><Relationship Type="http://schemas.openxmlformats.org/officeDocument/2006/relationships/worksheet" Target="/xl/worksheets/sheet1.xml" Id="R4c5c68a4768c4f92" /><Relationship Type="http://schemas.openxmlformats.org/officeDocument/2006/relationships/worksheet" Target="/xl/worksheets/sheet2.xml" Id="R488fe913f2274c4b" /><Relationship Type="http://schemas.openxmlformats.org/officeDocument/2006/relationships/worksheet" Target="/xl/worksheets/sheet3.xml" Id="R49c7a2a04c21489d" /></Relationships>
</file>

<file path=xl/tables/table1.xml><?xml version="1.0" encoding="utf-8"?>
<x:table xmlns:x="http://schemas.openxmlformats.org/spreadsheetml/2006/main" id="1" name="VideoGamesCleanTable" displayName="VideoGamesCleanTable" ref="A1:J51" headerRowCount="1">
  <x:tableColumns count="10">
    <x:tableColumn id="1" name="Rank"/>
    <x:tableColumn id="2" name="Title"/>
    <x:tableColumn id="3" name="Platform"/>
    <x:tableColumn id="4" name="Developer"/>
    <x:tableColumn id="5" name="Publisher"/>
    <x:tableColumn id="6" name="Reference"/>
    <x:tableColumn id="7" name="ReleaseYear"/>
    <x:tableColumn id="8" name="SalesMillions"/>
    <x:tableColumn id="9" name="Series"/>
    <x:tableColumn id="10" name="TableNumb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ed8d50324840c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28" hidden="0" customWidth="1"/>
    <x:col min="5" max="5" width="28" hidden="0" customWidth="1"/>
    <x:col min="6" max="6" width="12" hidden="0" customWidth="1"/>
    <x:col min="7" max="7" width="12" hidden="0" customWidth="1"/>
    <x:col min="8" max="8" width="14" hidden="0" customWidth="1"/>
    <x:col min="9" max="9" width="22" hidden="0" customWidth="1"/>
    <x:col min="10" max="10" width="12" hidden="0" customWidth="1"/>
  </x:cols>
  <x:sheetData>
    <x:row r="1" ht="22" customHeight="1">
      <x:c r="A1" s="16" t="str">
        <x:v>Rank</x:v>
      </x:c>
      <x:c r="B1" s="17" t="str">
        <x:v>Title</x:v>
      </x:c>
      <x:c r="C1" s="17" t="str">
        <x:v>Platform</x:v>
      </x:c>
      <x:c r="D1" s="17" t="str">
        <x:v>Developer</x:v>
      </x:c>
      <x:c r="E1" s="17" t="str">
        <x:v>Publisher</x:v>
      </x:c>
      <x:c r="F1" s="17" t="str">
        <x:v>Reference</x:v>
      </x:c>
      <x:c r="G1" s="17" t="str">
        <x:v>ReleaseYear</x:v>
      </x:c>
      <x:c r="H1" s="17" t="str">
        <x:v>SalesMillions</x:v>
      </x:c>
      <x:c r="I1" s="17" t="str">
        <x:v>Series</x:v>
      </x:c>
      <x:c r="J1" s="18" t="str">
        <x:v>TableNumber</x:v>
      </x:c>
    </x:row>
    <x:row r="2">
      <x:c r="A2" s="19" t="n">
        <x:v>1</x:v>
      </x:c>
      <x:c r="B2" s="20" t="str">
        <x:v>Minecraft</x:v>
      </x:c>
      <x:c r="C2" s="20" t="str">
        <x:v>Multi-platform</x:v>
      </x:c>
      <x:c r="D2" s="20" t="str">
        <x:v>Mojang Studios</x:v>
      </x:c>
      <x:c r="E2" s="20" t="str">
        <x:v>Mojang Studios</x:v>
      </x:c>
      <x:c r="F2" s="21"/>
      <x:c r="G2" s="22" t="n">
        <x:v>2011</x:v>
      </x:c>
      <x:c r="H2" s="23" t="n">
        <x:v>350</x:v>
      </x:c>
      <x:c r="I2" s="20" t="str">
        <x:v>Minecraft</x:v>
      </x:c>
      <x:c r="J2" s="24" t="n">
        <x:v>1</x:v>
      </x:c>
    </x:row>
    <x:row r="3">
      <x:c r="A3" s="19" t="n">
        <x:v>2</x:v>
      </x:c>
      <x:c r="B3" s="20" t="str">
        <x:v>Grand Theft Auto V</x:v>
      </x:c>
      <x:c r="C3" s="20" t="str">
        <x:v>Multi-platform</x:v>
      </x:c>
      <x:c r="D3" s="20" t="str">
        <x:v>Rockstar North</x:v>
      </x:c>
      <x:c r="E3" s="20" t="str">
        <x:v>Rockstar Games</x:v>
      </x:c>
      <x:c r="F3" s="21"/>
      <x:c r="G3" s="22" t="n">
        <x:v>2013</x:v>
      </x:c>
      <x:c r="H3" s="23" t="n">
        <x:v>225</x:v>
      </x:c>
      <x:c r="I3" s="20" t="str">
        <x:v>Grand Theft Auto</x:v>
      </x:c>
      <x:c r="J3" s="24" t="n">
        <x:v>1</x:v>
      </x:c>
    </x:row>
    <x:row r="4">
      <x:c r="A4" s="19" t="n">
        <x:v>3</x:v>
      </x:c>
      <x:c r="B4" s="20" t="str">
        <x:v>Wii Sports</x:v>
      </x:c>
      <x:c r="C4" s="20" t="str">
        <x:v>Wii</x:v>
      </x:c>
      <x:c r="D4" s="20" t="str">
        <x:v>Nintendo EAD</x:v>
      </x:c>
      <x:c r="E4" s="20" t="str">
        <x:v>Nintendo</x:v>
      </x:c>
      <x:c r="F4" s="21"/>
      <x:c r="G4" s="22" t="n">
        <x:v>2006</x:v>
      </x:c>
      <x:c r="H4" s="23" t="n">
        <x:v>82.9</x:v>
      </x:c>
      <x:c r="I4" s="20" t="str">
        <x:v>Wii</x:v>
      </x:c>
      <x:c r="J4" s="24" t="n">
        <x:v>1</x:v>
      </x:c>
    </x:row>
    <x:row r="5">
      <x:c r="A5" s="19" t="n">
        <x:v>4</x:v>
      </x:c>
      <x:c r="B5" s="20" t="str">
        <x:v>Red Dead Redemption 2</x:v>
      </x:c>
      <x:c r="C5" s="20" t="str">
        <x:v>Multi-platform</x:v>
      </x:c>
      <x:c r="D5" s="20" t="str">
        <x:v>Rockstar Games</x:v>
      </x:c>
      <x:c r="E5" s="20" t="str">
        <x:v>Rockstar Games</x:v>
      </x:c>
      <x:c r="F5" s="21"/>
      <x:c r="G5" s="22" t="n">
        <x:v>2018</x:v>
      </x:c>
      <x:c r="H5" s="23" t="n">
        <x:v>82</x:v>
      </x:c>
      <x:c r="I5" s="20" t="str">
        <x:v>Red Dead</x:v>
      </x:c>
      <x:c r="J5" s="24" t="n">
        <x:v>1</x:v>
      </x:c>
    </x:row>
    <x:row r="6">
      <x:c r="A6" s="19" t="n">
        <x:v>5</x:v>
      </x:c>
      <x:c r="B6" s="20" t="str">
        <x:v>Mario Kart 8/Deluxe</x:v>
      </x:c>
      <x:c r="C6" s="20" t="str">
        <x:v>Wii U/Switch</x:v>
      </x:c>
      <x:c r="D6" s="20" t="str">
        <x:v>Nintendo EAD/Nintendo EPD(Deluxe)</x:v>
      </x:c>
      <x:c r="E6" s="20" t="str">
        <x:v>Nintendo</x:v>
      </x:c>
      <x:c r="F6" s="21" t="str"/>
      <x:c r="G6" s="22" t="n">
        <x:v>2014</x:v>
      </x:c>
      <x:c r="H6" s="23" t="n">
        <x:v>79.05</x:v>
      </x:c>
      <x:c r="I6" s="20" t="str">
        <x:v>Mario Kart</x:v>
      </x:c>
      <x:c r="J6" s="24" t="n">
        <x:v>1</x:v>
      </x:c>
    </x:row>
    <x:row r="7">
      <x:c r="A7" s="19" t="n">
        <x:v>6</x:v>
      </x:c>
      <x:c r="B7" s="20" t="str">
        <x:v>PUBG: Battlegrounds</x:v>
      </x:c>
      <x:c r="C7" s="20" t="str">
        <x:v>Multi-platform</x:v>
      </x:c>
      <x:c r="D7" s="20" t="str">
        <x:v>PUBG Studios</x:v>
      </x:c>
      <x:c r="E7" s="20" t="str">
        <x:v>Krafton</x:v>
      </x:c>
      <x:c r="F7" s="21"/>
      <x:c r="G7" s="22" t="n">
        <x:v>2017</x:v>
      </x:c>
      <x:c r="H7" s="23" t="n">
        <x:v>75</x:v>
      </x:c>
      <x:c r="I7" s="20" t="str">
        <x:v>PUBG Universe</x:v>
      </x:c>
      <x:c r="J7" s="24" t="n">
        <x:v>1</x:v>
      </x:c>
    </x:row>
    <x:row r="8">
      <x:c r="A8" s="19" t="n">
        <x:v>7</x:v>
      </x:c>
      <x:c r="B8" s="20" t="str">
        <x:v>Terraria</x:v>
      </x:c>
      <x:c r="C8" s="20" t="str">
        <x:v>Multi-platform</x:v>
      </x:c>
      <x:c r="D8" s="20" t="str">
        <x:v>Re-Logic</x:v>
      </x:c>
      <x:c r="E8" s="20" t="str">
        <x:v>Re-Logic/505 Games</x:v>
      </x:c>
      <x:c r="F8" s="21"/>
      <x:c r="G8" s="22" t="n">
        <x:v>2011</x:v>
      </x:c>
      <x:c r="H8" s="23" t="n">
        <x:v>64</x:v>
      </x:c>
      <x:c r="I8" s="20" t="str">
        <x:v>None</x:v>
      </x:c>
      <x:c r="J8" s="24" t="n">
        <x:v>1</x:v>
      </x:c>
    </x:row>
    <x:row r="9">
      <x:c r="A9" s="19" t="n">
        <x:v>8</x:v>
      </x:c>
      <x:c r="B9" s="20" t="str">
        <x:v>The Witcher 3: Wild Hunt</x:v>
      </x:c>
      <x:c r="C9" s="20" t="str">
        <x:v>Multi-platform</x:v>
      </x:c>
      <x:c r="D9" s="20" t="str">
        <x:v>CD Projekt Red</x:v>
      </x:c>
      <x:c r="E9" s="20" t="str">
        <x:v>CD Projekt</x:v>
      </x:c>
      <x:c r="F9" s="21"/>
      <x:c r="G9" s="22" t="n">
        <x:v>2015</x:v>
      </x:c>
      <x:c r="H9" s="23" t="n">
        <x:v>60</x:v>
      </x:c>
      <x:c r="I9" s="20" t="str">
        <x:v>The Witcher</x:v>
      </x:c>
      <x:c r="J9" s="24" t="n">
        <x:v>1</x:v>
      </x:c>
    </x:row>
    <x:row r="10">
      <x:c r="A10" s="19" t="n">
        <x:v>9</x:v>
      </x:c>
      <x:c r="B10" s="20" t="str">
        <x:v>Super Mario Bros.</x:v>
      </x:c>
      <x:c r="C10" s="20" t="str">
        <x:v>Multi-platform</x:v>
      </x:c>
      <x:c r="D10" s="20" t="str">
        <x:v>Nintendo R&amp;D4</x:v>
      </x:c>
      <x:c r="E10" s="20" t="str">
        <x:v>Nintendo</x:v>
      </x:c>
      <x:c r="F10" s="21"/>
      <x:c r="G10" s="22" t="n">
        <x:v>1985</x:v>
      </x:c>
      <x:c r="H10" s="23" t="n">
        <x:v>58</x:v>
      </x:c>
      <x:c r="I10" s="20" t="str">
        <x:v>Super Mario</x:v>
      </x:c>
      <x:c r="J10" s="24" t="n">
        <x:v>1</x:v>
      </x:c>
    </x:row>
    <x:row r="11">
      <x:c r="A11" s="19" t="n">
        <x:v>10</x:v>
      </x:c>
      <x:c r="B11" s="20" t="str">
        <x:v>Human: Fall Flat</x:v>
      </x:c>
      <x:c r="C11" s="20" t="str">
        <x:v>Multi-platform</x:v>
      </x:c>
      <x:c r="D11" s="20" t="str">
        <x:v>No Brakes Games</x:v>
      </x:c>
      <x:c r="E11" s="20" t="str">
        <x:v>Curve Digital</x:v>
      </x:c>
      <x:c r="F11" s="21"/>
      <x:c r="G11" s="22" t="n">
        <x:v>2016</x:v>
      </x:c>
      <x:c r="H11" s="23" t="n">
        <x:v>55</x:v>
      </x:c>
      <x:c r="I11" s="20" t="str">
        <x:v>None</x:v>
      </x:c>
      <x:c r="J11" s="24" t="n">
        <x:v>1</x:v>
      </x:c>
    </x:row>
    <x:row r="12">
      <x:c r="A12" s="19" t="n">
        <x:v>11</x:v>
      </x:c>
      <x:c r="B12" s="20" t="str">
        <x:v>Overwatch</x:v>
      </x:c>
      <x:c r="C12" s="20" t="str">
        <x:v>Multi-platform</x:v>
      </x:c>
      <x:c r="D12" s="20" t="str">
        <x:v>Blizzard Entertainment</x:v>
      </x:c>
      <x:c r="E12" s="20" t="str">
        <x:v>Blizzard Entertainment</x:v>
      </x:c>
      <x:c r="F12" s="21"/>
      <x:c r="G12" s="22" t="n">
        <x:v>2016</x:v>
      </x:c>
      <x:c r="H12" s="23" t="n">
        <x:v>50</x:v>
      </x:c>
      <x:c r="I12" s="20" t="str">
        <x:v>Overwatch</x:v>
      </x:c>
      <x:c r="J12" s="24" t="n">
        <x:v>1</x:v>
      </x:c>
    </x:row>
    <x:row r="13">
      <x:c r="A13" s="19" t="n">
        <x:v>12</x:v>
      </x:c>
      <x:c r="B13" s="20" t="str">
        <x:v>The Sims</x:v>
      </x:c>
      <x:c r="C13" s="20" t="str">
        <x:v>Multi-platform</x:v>
      </x:c>
      <x:c r="D13" s="20" t="str">
        <x:v>Maxis</x:v>
      </x:c>
      <x:c r="E13" s="20" t="str">
        <x:v>Electronic Arts</x:v>
      </x:c>
      <x:c r="F13" s="21"/>
      <x:c r="G13" s="22" t="n">
        <x:v>2000</x:v>
      </x:c>
      <x:c r="H13" s="23" t="n">
        <x:v>50</x:v>
      </x:c>
      <x:c r="I13" s="20" t="str">
        <x:v>The Sims</x:v>
      </x:c>
      <x:c r="J13" s="24" t="n">
        <x:v>1</x:v>
      </x:c>
    </x:row>
    <x:row r="14">
      <x:c r="A14" s="19" t="n">
        <x:v>13</x:v>
      </x:c>
      <x:c r="B14" s="20" t="str">
        <x:v>Stardew Valley</x:v>
      </x:c>
      <x:c r="C14" s="20" t="str">
        <x:v>Multi-platform</x:v>
      </x:c>
      <x:c r="D14" s="20" t="str">
        <x:v>ConcernedApe</x:v>
      </x:c>
      <x:c r="E14" s="20" t="str">
        <x:v>Chucklefish/ConcernedApe</x:v>
      </x:c>
      <x:c r="F14" s="21"/>
      <x:c r="G14" s="22" t="n">
        <x:v>2016</x:v>
      </x:c>
      <x:c r="H14" s="23" t="n">
        <x:v>50</x:v>
      </x:c>
      <x:c r="I14" s="20" t="str">
        <x:v>None</x:v>
      </x:c>
      <x:c r="J14" s="24" t="n">
        <x:v>1</x:v>
      </x:c>
    </x:row>
    <x:row r="15">
      <x:c r="A15" s="19" t="n">
        <x:v>14</x:v>
      </x:c>
      <x:c r="B15" s="20" t="str">
        <x:v>Animal Crossing: New Horizons</x:v>
      </x:c>
      <x:c r="C15" s="20" t="str">
        <x:v>Nintendo Switch</x:v>
      </x:c>
      <x:c r="D15" s="20" t="str">
        <x:v>Nintendo EPD</x:v>
      </x:c>
      <x:c r="E15" s="20" t="str">
        <x:v>Nintendo</x:v>
      </x:c>
      <x:c r="F15" s="21"/>
      <x:c r="G15" s="22" t="n">
        <x:v>2020</x:v>
      </x:c>
      <x:c r="H15" s="23" t="n">
        <x:v>49.32</x:v>
      </x:c>
      <x:c r="I15" s="20" t="str">
        <x:v>Animal Crossing</x:v>
      </x:c>
      <x:c r="J15" s="24" t="n">
        <x:v>1</x:v>
      </x:c>
    </x:row>
    <x:row r="16">
      <x:c r="A16" s="19" t="n">
        <x:v>15</x:v>
      </x:c>
      <x:c r="B16" s="20" t="str">
        <x:v>Pokémon Red/Blue/Yellow</x:v>
      </x:c>
      <x:c r="C16" s="20" t="str">
        <x:v>Multi-platform</x:v>
      </x:c>
      <x:c r="D16" s="20" t="str">
        <x:v>Game Freak</x:v>
      </x:c>
      <x:c r="E16" s="20" t="str">
        <x:v>Nintendo</x:v>
      </x:c>
      <x:c r="F16" s="21" t="str"/>
      <x:c r="G16" s="22" t="n">
        <x:v>1996</x:v>
      </x:c>
      <x:c r="H16" s="23" t="n">
        <x:v>47.44</x:v>
      </x:c>
      <x:c r="I16" s="20" t="str">
        <x:v>Pokémon</x:v>
      </x:c>
      <x:c r="J16" s="24" t="n">
        <x:v>1</x:v>
      </x:c>
    </x:row>
    <x:row r="17">
      <x:c r="A17" s="19" t="n">
        <x:v>16</x:v>
      </x:c>
      <x:c r="B17" s="20" t="str">
        <x:v>Wii Fit/Plus</x:v>
      </x:c>
      <x:c r="C17" s="20" t="str">
        <x:v>Wii</x:v>
      </x:c>
      <x:c r="D17" s="20" t="str">
        <x:v>Nintendo EAD</x:v>
      </x:c>
      <x:c r="E17" s="20" t="str">
        <x:v>Nintendo</x:v>
      </x:c>
      <x:c r="F17" s="21" t="str"/>
      <x:c r="G17" s="22" t="n">
        <x:v>2007</x:v>
      </x:c>
      <x:c r="H17" s="23" t="n">
        <x:v>43.8</x:v>
      </x:c>
      <x:c r="I17" s="20" t="str">
        <x:v>Wii</x:v>
      </x:c>
      <x:c r="J17" s="24" t="n">
        <x:v>1</x:v>
      </x:c>
    </x:row>
    <x:row r="18">
      <x:c r="A18" s="19" t="n">
        <x:v>17</x:v>
      </x:c>
      <x:c r="B18" s="20" t="str">
        <x:v>Call of Duty: Black Ops III</x:v>
      </x:c>
      <x:c r="C18" s="20" t="str">
        <x:v>Multi-platform</x:v>
      </x:c>
      <x:c r="D18" s="20" t="str">
        <x:v>Treyarch</x:v>
      </x:c>
      <x:c r="E18" s="20" t="str">
        <x:v>Activision</x:v>
      </x:c>
      <x:c r="F18" s="21"/>
      <x:c r="G18" s="22" t="n">
        <x:v>2015</x:v>
      </x:c>
      <x:c r="H18" s="23" t="n">
        <x:v>43</x:v>
      </x:c>
      <x:c r="I18" s="20" t="str">
        <x:v>Call of Duty</x:v>
      </x:c>
      <x:c r="J18" s="24" t="n">
        <x:v>1</x:v>
      </x:c>
    </x:row>
    <x:row r="19">
      <x:c r="A19" s="19" t="n">
        <x:v>18</x:v>
      </x:c>
      <x:c r="B19" s="20" t="str">
        <x:v>Call of Duty: Modern Warfare</x:v>
      </x:c>
      <x:c r="C19" s="20" t="str">
        <x:v>Multi-platform</x:v>
      </x:c>
      <x:c r="D19" s="20" t="str">
        <x:v>Infinity Ward</x:v>
      </x:c>
      <x:c r="E19" s="20" t="str">
        <x:v>Activision</x:v>
      </x:c>
      <x:c r="F19" s="21"/>
      <x:c r="G19" s="22" t="n">
        <x:v>2019</x:v>
      </x:c>
      <x:c r="H19" s="23" t="n">
        <x:v>41</x:v>
      </x:c>
      <x:c r="I19" s="20" t="str">
        <x:v>Call of Duty</x:v>
      </x:c>
      <x:c r="J19" s="24" t="n">
        <x:v>1</x:v>
      </x:c>
    </x:row>
    <x:row r="20">
      <x:c r="A20" s="19" t="n">
        <x:v>19</x:v>
      </x:c>
      <x:c r="B20" s="20" t="str">
        <x:v>Hogwarts Legacy</x:v>
      </x:c>
      <x:c r="C20" s="20" t="str">
        <x:v>Multi-platform</x:v>
      </x:c>
      <x:c r="D20" s="20" t="str">
        <x:v>Avalanche Software</x:v>
      </x:c>
      <x:c r="E20" s="20" t="str">
        <x:v>Warner Bros. Games</x:v>
      </x:c>
      <x:c r="F20" s="21"/>
      <x:c r="G20" s="22" t="n">
        <x:v>2023</x:v>
      </x:c>
      <x:c r="H20" s="23" t="n">
        <x:v>40</x:v>
      </x:c>
      <x:c r="I20" s="20" t="str">
        <x:v>Wizarding World</x:v>
      </x:c>
      <x:c r="J20" s="24" t="n">
        <x:v>1</x:v>
      </x:c>
    </x:row>
    <x:row r="21">
      <x:c r="A21" s="19" t="n">
        <x:v>20</x:v>
      </x:c>
      <x:c r="B21" s="20" t="str">
        <x:v>Payday 2</x:v>
      </x:c>
      <x:c r="C21" s="20" t="str">
        <x:v>Multi-platform</x:v>
      </x:c>
      <x:c r="D21" s="20" t="str">
        <x:v>Overkill Software</x:v>
      </x:c>
      <x:c r="E21" s="20" t="str">
        <x:v>505 Games</x:v>
      </x:c>
      <x:c r="F21" s="21"/>
      <x:c r="G21" s="22" t="n">
        <x:v>2013</x:v>
      </x:c>
      <x:c r="H21" s="23" t="n">
        <x:v>40</x:v>
      </x:c>
      <x:c r="I21" s="20" t="str">
        <x:v>Payday</x:v>
      </x:c>
      <x:c r="J21" s="24" t="n">
        <x:v>1</x:v>
      </x:c>
    </x:row>
    <x:row r="22">
      <x:c r="A22" s="19" t="n">
        <x:v>21</x:v>
      </x:c>
      <x:c r="B22" s="20" t="str">
        <x:v>Sonic the Hedgehog</x:v>
      </x:c>
      <x:c r="C22" s="20" t="str">
        <x:v>Multi-platform</x:v>
      </x:c>
      <x:c r="D22" s="20" t="str">
        <x:v>Sonic Team</x:v>
      </x:c>
      <x:c r="E22" s="20" t="str">
        <x:v>Sega</x:v>
      </x:c>
      <x:c r="F22" s="21"/>
      <x:c r="G22" s="22" t="n">
        <x:v>1991</x:v>
      </x:c>
      <x:c r="H22" s="23" t="n">
        <x:v>40</x:v>
      </x:c>
      <x:c r="I22" s="20" t="str">
        <x:v>Sonic the Hedgehog</x:v>
      </x:c>
      <x:c r="J22" s="24" t="n">
        <x:v>1</x:v>
      </x:c>
    </x:row>
    <x:row r="23">
      <x:c r="A23" s="19" t="n">
        <x:v>22</x:v>
      </x:c>
      <x:c r="B23" s="20" t="str">
        <x:v>Super Smash Bros. Ultimate</x:v>
      </x:c>
      <x:c r="C23" s="20" t="str">
        <x:v>Nintendo Switch</x:v>
      </x:c>
      <x:c r="D23" s="20" t="str">
        <x:v>Bandai Namco Studios/Sora Ltd.</x:v>
      </x:c>
      <x:c r="E23" s="20" t="str">
        <x:v>Nintendo</x:v>
      </x:c>
      <x:c r="F23" s="21"/>
      <x:c r="G23" s="22" t="n">
        <x:v>2018</x:v>
      </x:c>
      <x:c r="H23" s="23" t="n">
        <x:v>37.44</x:v>
      </x:c>
      <x:c r="I23" s="20" t="str">
        <x:v>Super Smash Bros.</x:v>
      </x:c>
      <x:c r="J23" s="24" t="n">
        <x:v>1</x:v>
      </x:c>
    </x:row>
    <x:row r="24">
      <x:c r="A24" s="19" t="n">
        <x:v>23</x:v>
      </x:c>
      <x:c r="B24" s="20" t="str">
        <x:v>Mario Kart Wii</x:v>
      </x:c>
      <x:c r="C24" s="20" t="str">
        <x:v>Wii</x:v>
      </x:c>
      <x:c r="D24" s="20" t="str">
        <x:v>Nintendo EAD</x:v>
      </x:c>
      <x:c r="E24" s="20" t="str">
        <x:v>Nintendo</x:v>
      </x:c>
      <x:c r="F24" s="21"/>
      <x:c r="G24" s="22" t="n">
        <x:v>2008</x:v>
      </x:c>
      <x:c r="H24" s="23" t="n">
        <x:v>37.38</x:v>
      </x:c>
      <x:c r="I24" s="20" t="str">
        <x:v>Mario Kart</x:v>
      </x:c>
      <x:c r="J24" s="24" t="n">
        <x:v>1</x:v>
      </x:c>
    </x:row>
    <x:row r="25">
      <x:c r="A25" s="19" t="n">
        <x:v>24</x:v>
      </x:c>
      <x:c r="B25" s="20" t="str">
        <x:v>The Legend of Zelda: Breath of the Wild</x:v>
      </x:c>
      <x:c r="C25" s="20" t="str">
        <x:v>Multi-platform</x:v>
      </x:c>
      <x:c r="D25" s="20" t="str">
        <x:v>Nintendo EPD</x:v>
      </x:c>
      <x:c r="E25" s="20" t="str">
        <x:v>Nintendo</x:v>
      </x:c>
      <x:c r="F25" s="21" t="str"/>
      <x:c r="G25" s="22" t="n">
        <x:v>2017</x:v>
      </x:c>
      <x:c r="H25" s="23" t="n">
        <x:v>35.34</x:v>
      </x:c>
      <x:c r="I25" s="20" t="str">
        <x:v>The Legend of Zelda</x:v>
      </x:c>
      <x:c r="J25" s="24" t="n">
        <x:v>1</x:v>
      </x:c>
    </x:row>
    <x:row r="26">
      <x:c r="A26" s="19" t="n">
        <x:v>25</x:v>
      </x:c>
      <x:c r="B26" s="20" t="str">
        <x:v>Tetris(Game Boy)</x:v>
      </x:c>
      <x:c r="C26" s="20" t="str">
        <x:v>Game Boy</x:v>
      </x:c>
      <x:c r="D26" s="20" t="str">
        <x:v>Nintendo R&amp;D1</x:v>
      </x:c>
      <x:c r="E26" s="20" t="str">
        <x:v>Nintendo</x:v>
      </x:c>
      <x:c r="F26" s="21"/>
      <x:c r="G26" s="22" t="n">
        <x:v>1989</x:v>
      </x:c>
      <x:c r="H26" s="23" t="n">
        <x:v>35</x:v>
      </x:c>
      <x:c r="I26" s="20" t="str">
        <x:v>Tetris</x:v>
      </x:c>
      <x:c r="J26" s="24" t="n">
        <x:v>1</x:v>
      </x:c>
    </x:row>
    <x:row r="27">
      <x:c r="A27" s="19" t="n">
        <x:v>26</x:v>
      </x:c>
      <x:c r="B27" s="20" t="str">
        <x:v>Cyberpunk 2077</x:v>
      </x:c>
      <x:c r="C27" s="20" t="str">
        <x:v>Multi-platform</x:v>
      </x:c>
      <x:c r="D27" s="20" t="str">
        <x:v>CD Projekt Red</x:v>
      </x:c>
      <x:c r="E27" s="20" t="str">
        <x:v>CD Projekt</x:v>
      </x:c>
      <x:c r="F27" s="21"/>
      <x:c r="G27" s="22" t="n">
        <x:v>2020</x:v>
      </x:c>
      <x:c r="H27" s="23" t="n">
        <x:v>35</x:v>
      </x:c>
      <x:c r="I27" s="20" t="str">
        <x:v>Cyberpunk</x:v>
      </x:c>
      <x:c r="J27" s="24" t="n">
        <x:v>1</x:v>
      </x:c>
    </x:row>
    <x:row r="28">
      <x:c r="A28" s="19" t="n">
        <x:v>27</x:v>
      </x:c>
      <x:c r="B28" s="20" t="str">
        <x:v>Wii Sports Resort</x:v>
      </x:c>
      <x:c r="C28" s="20" t="str">
        <x:v>Wii</x:v>
      </x:c>
      <x:c r="D28" s="20" t="str">
        <x:v>Nintendo EAD</x:v>
      </x:c>
      <x:c r="E28" s="20" t="str">
        <x:v>Nintendo</x:v>
      </x:c>
      <x:c r="F28" s="21"/>
      <x:c r="G28" s="22" t="n">
        <x:v>2009</x:v>
      </x:c>
      <x:c r="H28" s="23" t="n">
        <x:v>33.14</x:v>
      </x:c>
      <x:c r="I28" s="20" t="str">
        <x:v>Wii</x:v>
      </x:c>
      <x:c r="J28" s="24" t="n">
        <x:v>1</x:v>
      </x:c>
    </x:row>
    <x:row r="29">
      <x:c r="A29" s="19" t="n">
        <x:v>28</x:v>
      </x:c>
      <x:c r="B29" s="20" t="str">
        <x:v>New Super Mario Bros.</x:v>
      </x:c>
      <x:c r="C29" s="20" t="str">
        <x:v>Nintendo DS</x:v>
      </x:c>
      <x:c r="D29" s="20" t="str">
        <x:v>Nintendo EAD</x:v>
      </x:c>
      <x:c r="E29" s="20" t="str">
        <x:v>Nintendo</x:v>
      </x:c>
      <x:c r="F29" s="21"/>
      <x:c r="G29" s="22" t="n">
        <x:v>2006</x:v>
      </x:c>
      <x:c r="H29" s="23" t="n">
        <x:v>30.8</x:v>
      </x:c>
      <x:c r="I29" s="20" t="str">
        <x:v>Super Mario</x:v>
      </x:c>
      <x:c r="J29" s="24" t="n">
        <x:v>1</x:v>
      </x:c>
    </x:row>
    <x:row r="30">
      <x:c r="A30" s="19" t="n">
        <x:v>29</x:v>
      </x:c>
      <x:c r="B30" s="20" t="str">
        <x:v>New Super Mario Bros. Wii</x:v>
      </x:c>
      <x:c r="C30" s="20" t="str">
        <x:v>Wii</x:v>
      </x:c>
      <x:c r="D30" s="20" t="str">
        <x:v>Nintendo EAD</x:v>
      </x:c>
      <x:c r="E30" s="20" t="str">
        <x:v>Nintendo</x:v>
      </x:c>
      <x:c r="F30" s="21"/>
      <x:c r="G30" s="22" t="n">
        <x:v>2009</x:v>
      </x:c>
      <x:c r="H30" s="23" t="n">
        <x:v>30.32</x:v>
      </x:c>
      <x:c r="I30" s="20" t="str">
        <x:v>Super Mario</x:v>
      </x:c>
      <x:c r="J30" s="24" t="n">
        <x:v>1</x:v>
      </x:c>
    </x:row>
    <x:row r="31">
      <x:c r="A31" s="19" t="n">
        <x:v>30</x:v>
      </x:c>
      <x:c r="B31" s="20" t="str">
        <x:v>Super Mario Odyssey</x:v>
      </x:c>
      <x:c r="C31" s="20" t="str">
        <x:v>Nintendo Switch</x:v>
      </x:c>
      <x:c r="D31" s="20" t="str">
        <x:v>Nintendo EPD</x:v>
      </x:c>
      <x:c r="E31" s="20" t="str">
        <x:v>Nintendo</x:v>
      </x:c>
      <x:c r="F31" s="21"/>
      <x:c r="G31" s="22" t="n">
        <x:v>2017</x:v>
      </x:c>
      <x:c r="H31" s="23" t="n">
        <x:v>30.27</x:v>
      </x:c>
      <x:c r="I31" s="20" t="str">
        <x:v>Super Mario</x:v>
      </x:c>
      <x:c r="J31" s="24" t="n">
        <x:v>1</x:v>
      </x:c>
    </x:row>
    <x:row r="32">
      <x:c r="A32" s="19" t="n">
        <x:v>31</x:v>
      </x:c>
      <x:c r="B32" s="20" t="str">
        <x:v>Pokémon Gold/Silver/Crystal</x:v>
      </x:c>
      <x:c r="C32" s="20" t="str">
        <x:v>Game Boy Color</x:v>
      </x:c>
      <x:c r="D32" s="20" t="str">
        <x:v>Game Freak</x:v>
      </x:c>
      <x:c r="E32" s="20" t="str">
        <x:v>Nintendo</x:v>
      </x:c>
      <x:c r="F32" s="21" t="str"/>
      <x:c r="G32" s="22" t="n">
        <x:v>1999</x:v>
      </x:c>
      <x:c r="H32" s="23" t="n">
        <x:v>30.12</x:v>
      </x:c>
      <x:c r="I32" s="20" t="str">
        <x:v>Pokémon</x:v>
      </x:c>
      <x:c r="J32" s="24" t="n">
        <x:v>1</x:v>
      </x:c>
    </x:row>
    <x:row r="33">
      <x:c r="A33" s="19" t="n">
        <x:v>32</x:v>
      </x:c>
      <x:c r="B33" s="20" t="str">
        <x:v>Elden Ring</x:v>
      </x:c>
      <x:c r="C33" s="20" t="str">
        <x:v>Multi-platform</x:v>
      </x:c>
      <x:c r="D33" s="20" t="str">
        <x:v>FromSoftware</x:v>
      </x:c>
      <x:c r="E33" s="20" t="str">
        <x:v>Bandai Namco</x:v>
      </x:c>
      <x:c r="F33" s="21"/>
      <x:c r="G33" s="22" t="n">
        <x:v>2022</x:v>
      </x:c>
      <x:c r="H33" s="23" t="n">
        <x:v>30</x:v>
      </x:c>
      <x:c r="I33" s="20" t="str">
        <x:v>Elden Ring</x:v>
      </x:c>
      <x:c r="J33" s="24" t="n">
        <x:v>1</x:v>
      </x:c>
    </x:row>
    <x:row r="34">
      <x:c r="A34" s="19" t="n">
        <x:v>33</x:v>
      </x:c>
      <x:c r="B34" s="20" t="str">
        <x:v>Borderlands 2</x:v>
      </x:c>
      <x:c r="C34" s="20" t="str">
        <x:v>Multi-platform</x:v>
      </x:c>
      <x:c r="D34" s="20" t="str">
        <x:v>Gearbox Software</x:v>
      </x:c>
      <x:c r="E34" s="20" t="str">
        <x:v>2K Games</x:v>
      </x:c>
      <x:c r="F34" s="21"/>
      <x:c r="G34" s="22" t="n">
        <x:v>2012</x:v>
      </x:c>
      <x:c r="H34" s="23" t="n">
        <x:v>30</x:v>
      </x:c>
      <x:c r="I34" s="20" t="str">
        <x:v>Borderlands</x:v>
      </x:c>
      <x:c r="J34" s="24" t="n">
        <x:v>1</x:v>
      </x:c>
    </x:row>
    <x:row r="35">
      <x:c r="A35" s="19" t="n">
        <x:v>34</x:v>
      </x:c>
      <x:c r="B35" s="20" t="str">
        <x:v>Call of Duty: Black Ops Cold War</x:v>
      </x:c>
      <x:c r="C35" s="20" t="str">
        <x:v>Multi-platform</x:v>
      </x:c>
      <x:c r="D35" s="20" t="str">
        <x:v>Treyarch/Raven Software</x:v>
      </x:c>
      <x:c r="E35" s="20" t="str">
        <x:v>Activision</x:v>
      </x:c>
      <x:c r="F35" s="21"/>
      <x:c r="G35" s="22" t="n">
        <x:v>2020</x:v>
      </x:c>
      <x:c r="H35" s="23" t="n">
        <x:v>30</x:v>
      </x:c>
      <x:c r="I35" s="20" t="str">
        <x:v>Call of Duty</x:v>
      </x:c>
      <x:c r="J35" s="24" t="n">
        <x:v>1</x:v>
      </x:c>
    </x:row>
    <x:row r="36">
      <x:c r="A36" s="19" t="n">
        <x:v>35</x:v>
      </x:c>
      <x:c r="B36" s="20" t="str">
        <x:v>The Elder Scrolls V: Skyrim</x:v>
      </x:c>
      <x:c r="C36" s="20" t="str">
        <x:v>Multi-platform</x:v>
      </x:c>
      <x:c r="D36" s="20" t="str">
        <x:v>Bethesda Game Studios</x:v>
      </x:c>
      <x:c r="E36" s="20" t="str">
        <x:v>Bethesda Softworks</x:v>
      </x:c>
      <x:c r="F36" s="21"/>
      <x:c r="G36" s="22" t="n">
        <x:v>2011</x:v>
      </x:c>
      <x:c r="H36" s="23" t="n">
        <x:v>30</x:v>
      </x:c>
      <x:c r="I36" s="20" t="str">
        <x:v>The Elder Scrolls</x:v>
      </x:c>
      <x:c r="J36" s="24" t="n">
        <x:v>1</x:v>
      </x:c>
    </x:row>
    <x:row r="37">
      <x:c r="A37" s="19" t="n">
        <x:v>36</x:v>
      </x:c>
      <x:c r="B37" s="20" t="str">
        <x:v>Monster Hunter: World</x:v>
      </x:c>
      <x:c r="C37" s="20" t="str">
        <x:v>Multi-platform</x:v>
      </x:c>
      <x:c r="D37" s="20" t="str">
        <x:v>Capcom</x:v>
      </x:c>
      <x:c r="E37" s="20" t="str">
        <x:v>Capcom</x:v>
      </x:c>
      <x:c r="F37" s="21" t="str"/>
      <x:c r="G37" s="22" t="n">
        <x:v>2018</x:v>
      </x:c>
      <x:c r="H37" s="23" t="n">
        <x:v>29.1</x:v>
      </x:c>
      <x:c r="I37" s="20" t="str">
        <x:v>Monster Hunter</x:v>
      </x:c>
      <x:c r="J37" s="24" t="n">
        <x:v>1</x:v>
      </x:c>
    </x:row>
    <x:row r="38">
      <x:c r="A38" s="19" t="n">
        <x:v>37</x:v>
      </x:c>
      <x:c r="B38" s="20" t="str">
        <x:v>Duck Hunt</x:v>
      </x:c>
      <x:c r="C38" s="20" t="str">
        <x:v>Famicom / NES</x:v>
      </x:c>
      <x:c r="D38" s="20" t="str">
        <x:v>Nintendo R&amp;D1</x:v>
      </x:c>
      <x:c r="E38" s="20" t="str">
        <x:v>Nintendo</x:v>
      </x:c>
      <x:c r="F38" s="21"/>
      <x:c r="G38" s="22" t="n">
        <x:v>1984</x:v>
      </x:c>
      <x:c r="H38" s="23" t="n">
        <x:v>28.3</x:v>
      </x:c>
      <x:c r="I38" s="20" t="str">
        <x:v>None</x:v>
      </x:c>
      <x:c r="J38" s="24" t="n">
        <x:v>1</x:v>
      </x:c>
    </x:row>
    <x:row r="39">
      <x:c r="A39" s="19" t="n">
        <x:v>38</x:v>
      </x:c>
      <x:c r="B39" s="20" t="str">
        <x:v>Pokémon Scarlet/Violet</x:v>
      </x:c>
      <x:c r="C39" s="20" t="str">
        <x:v>Nintendo Switch</x:v>
      </x:c>
      <x:c r="D39" s="20" t="str">
        <x:v>Game Freak</x:v>
      </x:c>
      <x:c r="E39" s="20" t="str">
        <x:v>Nintendo/The Pokémon Company</x:v>
      </x:c>
      <x:c r="F39" s="21"/>
      <x:c r="G39" s="22" t="n">
        <x:v>2022</x:v>
      </x:c>
      <x:c r="H39" s="23" t="n">
        <x:v>28.08</x:v>
      </x:c>
      <x:c r="I39" s="20" t="str">
        <x:v>Pokémon</x:v>
      </x:c>
      <x:c r="J39" s="24" t="n">
        <x:v>1</x:v>
      </x:c>
    </x:row>
    <x:row r="40">
      <x:c r="A40" s="19" t="n">
        <x:v>39</x:v>
      </x:c>
      <x:c r="B40" s="20" t="str">
        <x:v>Wii Play</x:v>
      </x:c>
      <x:c r="C40" s="20" t="str">
        <x:v>Wii</x:v>
      </x:c>
      <x:c r="D40" s="20" t="str">
        <x:v>Nintendo EAD</x:v>
      </x:c>
      <x:c r="E40" s="20" t="str">
        <x:v>Nintendo</x:v>
      </x:c>
      <x:c r="F40" s="21"/>
      <x:c r="G40" s="22" t="n">
        <x:v>2006</x:v>
      </x:c>
      <x:c r="H40" s="23" t="n">
        <x:v>28.02</x:v>
      </x:c>
      <x:c r="I40" s="20" t="str">
        <x:v>Wii</x:v>
      </x:c>
      <x:c r="J40" s="24" t="n">
        <x:v>1</x:v>
      </x:c>
    </x:row>
    <x:row r="41">
      <x:c r="A41" s="19" t="n">
        <x:v>40</x:v>
      </x:c>
      <x:c r="B41" s="20" t="str">
        <x:v>Black Myth: Wukong</x:v>
      </x:c>
      <x:c r="C41" s="20" t="str">
        <x:v>Multi-platform</x:v>
      </x:c>
      <x:c r="D41" s="20" t="str">
        <x:v>Game Science</x:v>
      </x:c>
      <x:c r="E41" s="20" t="str">
        <x:v>Game Science</x:v>
      </x:c>
      <x:c r="F41" s="21"/>
      <x:c r="G41" s="22" t="n">
        <x:v>2024</x:v>
      </x:c>
      <x:c r="H41" s="23" t="n">
        <x:v>28</x:v>
      </x:c>
      <x:c r="I41" s="20" t="str">
        <x:v>Black Myth</x:v>
      </x:c>
      <x:c r="J41" s="24" t="n">
        <x:v>1</x:v>
      </x:c>
    </x:row>
    <x:row r="42">
      <x:c r="A42" s="19" t="n">
        <x:v>41</x:v>
      </x:c>
      <x:c r="B42" s="20" t="str">
        <x:v>Grand Theft Auto: San Andreas</x:v>
      </x:c>
      <x:c r="C42" s="20" t="str">
        <x:v>Multi-platform</x:v>
      </x:c>
      <x:c r="D42" s="20" t="str">
        <x:v>Rockstar North</x:v>
      </x:c>
      <x:c r="E42" s="20" t="str">
        <x:v>Rockstar Games</x:v>
      </x:c>
      <x:c r="F42" s="21"/>
      <x:c r="G42" s="22" t="n">
        <x:v>2004</x:v>
      </x:c>
      <x:c r="H42" s="23" t="n">
        <x:v>27.5</x:v>
      </x:c>
      <x:c r="I42" s="20" t="str">
        <x:v>Grand Theft Auto</x:v>
      </x:c>
      <x:c r="J42" s="24" t="n">
        <x:v>1</x:v>
      </x:c>
    </x:row>
    <x:row r="43">
      <x:c r="A43" s="19" t="n">
        <x:v>42</x:v>
      </x:c>
      <x:c r="B43" s="20" t="str">
        <x:v>Pokémon Sword/Shield</x:v>
      </x:c>
      <x:c r="C43" s="20" t="str">
        <x:v>Nintendo Switch</x:v>
      </x:c>
      <x:c r="D43" s="20" t="str">
        <x:v>Game Freak</x:v>
      </x:c>
      <x:c r="E43" s="20" t="str">
        <x:v>Nintendo/The Pokémon Company</x:v>
      </x:c>
      <x:c r="F43" s="21"/>
      <x:c r="G43" s="22" t="n">
        <x:v>2019</x:v>
      </x:c>
      <x:c r="H43" s="23" t="n">
        <x:v>27.08</x:v>
      </x:c>
      <x:c r="I43" s="20" t="str">
        <x:v>Pokémon</x:v>
      </x:c>
      <x:c r="J43" s="24" t="n">
        <x:v>1</x:v>
      </x:c>
    </x:row>
    <x:row r="44">
      <x:c r="A44" s="19" t="n">
        <x:v>43</x:v>
      </x:c>
      <x:c r="B44" s="20" t="str">
        <x:v>It Takes Two</x:v>
      </x:c>
      <x:c r="C44" s="20" t="str">
        <x:v>Multi-platform</x:v>
      </x:c>
      <x:c r="D44" s="20" t="str">
        <x:v>Hazelight Studios</x:v>
      </x:c>
      <x:c r="E44" s="20" t="str">
        <x:v>Electronic Arts</x:v>
      </x:c>
      <x:c r="F44" s="21"/>
      <x:c r="G44" s="22" t="n">
        <x:v>2021</x:v>
      </x:c>
      <x:c r="H44" s="23" t="n">
        <x:v>27</x:v>
      </x:c>
      <x:c r="I44" s="20" t="str">
        <x:v>None</x:v>
      </x:c>
      <x:c r="J44" s="24" t="n">
        <x:v>1</x:v>
      </x:c>
    </x:row>
    <x:row r="45">
      <x:c r="A45" s="19" t="n">
        <x:v>44</x:v>
      </x:c>
      <x:c r="B45" s="20" t="str">
        <x:v>The Last of Us/Remastered</x:v>
      </x:c>
      <x:c r="C45" s="20" t="str">
        <x:v>PS3/PS4</x:v>
      </x:c>
      <x:c r="D45" s="20" t="str">
        <x:v>Naughty Dog</x:v>
      </x:c>
      <x:c r="E45" s="20" t="str">
        <x:v>Sony Computer Entertainment</x:v>
      </x:c>
      <x:c r="F45" s="21" t="str"/>
      <x:c r="G45" s="22" t="n">
        <x:v>2013</x:v>
      </x:c>
      <x:c r="H45" s="23" t="n">
        <x:v>26.6</x:v>
      </x:c>
      <x:c r="I45" s="20" t="str">
        <x:v>The Last of Us</x:v>
      </x:c>
      <x:c r="J45" s="24" t="n">
        <x:v>1</x:v>
      </x:c>
    </x:row>
    <x:row r="46">
      <x:c r="A46" s="19" t="n">
        <x:v>45</x:v>
      </x:c>
      <x:c r="B46" s="20" t="str">
        <x:v>Call of Duty: Modern Warfare 3</x:v>
      </x:c>
      <x:c r="C46" s="20" t="str">
        <x:v>Multi-platform</x:v>
      </x:c>
      <x:c r="D46" s="20" t="str">
        <x:v>Infinity Ward/Sledgehammer</x:v>
      </x:c>
      <x:c r="E46" s="20" t="str">
        <x:v>Activision</x:v>
      </x:c>
      <x:c r="F46" s="21"/>
      <x:c r="G46" s="22" t="n">
        <x:v>2011</x:v>
      </x:c>
      <x:c r="H46" s="23" t="n">
        <x:v>26.5</x:v>
      </x:c>
      <x:c r="I46" s="20" t="str">
        <x:v>Call of Duty</x:v>
      </x:c>
      <x:c r="J46" s="24" t="n">
        <x:v>1</x:v>
      </x:c>
    </x:row>
    <x:row r="47">
      <x:c r="A47" s="19" t="n">
        <x:v>46</x:v>
      </x:c>
      <x:c r="B47" s="20" t="str">
        <x:v>Call of Duty: Black Ops</x:v>
      </x:c>
      <x:c r="C47" s="20" t="str">
        <x:v>Multi-platform</x:v>
      </x:c>
      <x:c r="D47" s="20" t="str">
        <x:v>Treyarch</x:v>
      </x:c>
      <x:c r="E47" s="20" t="str">
        <x:v>Activision</x:v>
      </x:c>
      <x:c r="F47" s="21"/>
      <x:c r="G47" s="22" t="n">
        <x:v>2010</x:v>
      </x:c>
      <x:c r="H47" s="23" t="n">
        <x:v>26.2</x:v>
      </x:c>
      <x:c r="I47" s="20" t="str">
        <x:v>Call of Duty</x:v>
      </x:c>
      <x:c r="J47" s="24" t="n">
        <x:v>1</x:v>
      </x:c>
    </x:row>
    <x:row r="48">
      <x:c r="A48" s="19" t="n">
        <x:v>47</x:v>
      </x:c>
      <x:c r="B48" s="20" t="str">
        <x:v>Marvel's Spider-Man/Remastered</x:v>
      </x:c>
      <x:c r="C48" s="20" t="str">
        <x:v>Multi-platform</x:v>
      </x:c>
      <x:c r="D48" s="20" t="str">
        <x:v>Insomniac Games</x:v>
      </x:c>
      <x:c r="E48" s="20" t="str">
        <x:v>Sony Interactive Entertainment</x:v>
      </x:c>
      <x:c r="F48" s="21" t="str"/>
      <x:c r="G48" s="22" t="n">
        <x:v>2018</x:v>
      </x:c>
      <x:c r="H48" s="23" t="n">
        <x:v>26.1</x:v>
      </x:c>
      <x:c r="I48" s="20" t="str">
        <x:v>Marvel's Spider-Man</x:v>
      </x:c>
      <x:c r="J48" s="24" t="n">
        <x:v>1</x:v>
      </x:c>
    </x:row>
    <x:row r="49">
      <x:c r="A49" s="19" t="n">
        <x:v>48</x:v>
      </x:c>
      <x:c r="B49" s="20" t="str">
        <x:v>Pokémon Sun/Moon/Ultra Sun/Ultra Moon</x:v>
      </x:c>
      <x:c r="C49" s="20" t="str">
        <x:v>Nintendo 3DS</x:v>
      </x:c>
      <x:c r="D49" s="20" t="str">
        <x:v>Game Freak</x:v>
      </x:c>
      <x:c r="E49" s="20" t="str">
        <x:v>Nintendo/The Pokémon Company</x:v>
      </x:c>
      <x:c r="F49" s="21" t="str"/>
      <x:c r="G49" s="22" t="n">
        <x:v>2016</x:v>
      </x:c>
      <x:c r="H49" s="23" t="n">
        <x:v>25.59</x:v>
      </x:c>
      <x:c r="I49" s="20" t="str">
        <x:v>Pokémon</x:v>
      </x:c>
      <x:c r="J49" s="24" t="n">
        <x:v>1</x:v>
      </x:c>
    </x:row>
    <x:row r="50">
      <x:c r="A50" s="19" t="n">
        <x:v>49</x:v>
      </x:c>
      <x:c r="B50" s="20" t="str">
        <x:v>Garry's Mod</x:v>
      </x:c>
      <x:c r="C50" s="20" t="str">
        <x:v>PC</x:v>
      </x:c>
      <x:c r="D50" s="20" t="str">
        <x:v>Facepunch Studios</x:v>
      </x:c>
      <x:c r="E50" s="20" t="str">
        <x:v>Valve</x:v>
      </x:c>
      <x:c r="F50" s="21"/>
      <x:c r="G50" s="22" t="n">
        <x:v>2006</x:v>
      </x:c>
      <x:c r="H50" s="23" t="n">
        <x:v>25.56</x:v>
      </x:c>
      <x:c r="I50" s="20" t="str">
        <x:v>None</x:v>
      </x:c>
      <x:c r="J50" s="24" t="n">
        <x:v>1</x:v>
      </x:c>
    </x:row>
    <x:row r="51">
      <x:c r="A51" s="25" t="n">
        <x:v>50</x:v>
      </x:c>
      <x:c r="B51" s="26" t="str">
        <x:v>Pokémon Diamond/Pearl/Platinum</x:v>
      </x:c>
      <x:c r="C51" s="26" t="str">
        <x:v>Nintendo DS</x:v>
      </x:c>
      <x:c r="D51" s="26" t="str">
        <x:v>Game Freak</x:v>
      </x:c>
      <x:c r="E51" s="26" t="str">
        <x:v>Nintendo/The Pokémon Company</x:v>
      </x:c>
      <x:c r="F51" s="27" t="str"/>
      <x:c r="G51" s="28" t="n">
        <x:v>2006</x:v>
      </x:c>
      <x:c r="H51" s="29" t="n">
        <x:v>25.5</x:v>
      </x:c>
      <x:c r="I51" s="26" t="str">
        <x:v>Pokémon</x:v>
      </x:c>
      <x:c r="J51" s="3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9ed8d50324840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 ht="22" customHeight="1">
      <x:c r="A1" s="5" t="str">
        <x:v>Campo</x:v>
      </x:c>
      <x:c r="B1" s="5" t="str">
        <x:v>Descripción</x:v>
      </x:c>
    </x:row>
    <x:row r="2">
      <x:c r="A2" t="str">
        <x:v>Rank</x:v>
      </x:c>
      <x:c r="B2" s="10" t="str">
        <x:v>Posición del videojuego según ventas.</x:v>
      </x:c>
    </x:row>
    <x:row r="3">
      <x:c r="A3" t="str">
        <x:v>Title</x:v>
      </x:c>
      <x:c r="B3" s="10" t="str">
        <x:v>Nombre del videojuego, sin notas tipo [a], [b] y con caracteres corregidos.</x:v>
      </x:c>
    </x:row>
    <x:row r="4">
      <x:c r="A4" t="str">
        <x:v>Platform</x:v>
      </x:c>
      <x:c r="B4" s="10" t="str">
        <x:v>Plataforma o grupo de plataformas donde está disponible.</x:v>
      </x:c>
    </x:row>
    <x:row r="5">
      <x:c r="A5" t="str">
        <x:v>Developer</x:v>
      </x:c>
      <x:c r="B5" s="10" t="str">
        <x:v>Empresa o estudio desarrollador del videojuego.</x:v>
      </x:c>
    </x:row>
    <x:row r="6">
      <x:c r="A6" t="str">
        <x:v>Publisher</x:v>
      </x:c>
      <x:c r="B6" s="10" t="str">
        <x:v>Empresa publicadora o distribuidora.</x:v>
      </x:c>
    </x:row>
    <x:row r="7">
      <x:c r="A7" t="str">
        <x:v>Reference</x:v>
      </x:c>
      <x:c r="B7" s="10" t="str">
        <x:v>Referencia original cuando venía en el archivo. Puede estar vacía.</x:v>
      </x:c>
    </x:row>
    <x:row r="8">
      <x:c r="A8" t="str">
        <x:v>ReleaseYear</x:v>
      </x:c>
      <x:c r="B8" s="10" t="str">
        <x:v>Año de lanzamiento en formato numérico.</x:v>
      </x:c>
    </x:row>
    <x:row r="9">
      <x:c r="A9" t="str">
        <x:v>SalesMillions</x:v>
      </x:c>
      <x:c r="B9" s="10" t="str">
        <x:v>Ventas estimadas en millones, en formato numérico.</x:v>
      </x:c>
    </x:row>
    <x:row r="10">
      <x:c r="A10" t="str">
        <x:v>Series</x:v>
      </x:c>
      <x:c r="B10" s="10" t="str">
        <x:v>Serie o franquicia a la que pertenece.</x:v>
      </x:c>
    </x:row>
    <x:row r="11">
      <x:c r="A11" t="str">
        <x:v>TableNumber</x:v>
      </x:c>
      <x:c r="B11" s="10" t="str">
        <x:v>Número de tabla original.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 ht="22" customHeight="1">
      <x:c r="A1" s="5" t="str">
        <x:v>Métrica</x:v>
      </x:c>
      <x:c r="B1" s="5" t="str">
        <x:v>Valor</x:v>
      </x:c>
    </x:row>
    <x:row r="2">
      <x:c r="A2" t="str">
        <x:v>Total de videojuegos</x:v>
      </x:c>
      <x:c r="B2" s="46" t="n">
        <x:f>COUNTA(video_games_clean!B2:B51)</x:f>
        <x:v>50</x:v>
      </x:c>
    </x:row>
    <x:row r="3">
      <x:c r="A3" t="str">
        <x:v>Total de columnas</x:v>
      </x:c>
      <x:c r="B3" s="47" t="n">
        <x:f>COUNTA(video_games_clean!A1:J1)</x:f>
        <x:v>10</x:v>
      </x:c>
    </x:row>
    <x:row r="4">
      <x:c r="A4" t="str">
        <x:v>Ventas totales (millones)</x:v>
      </x:c>
      <x:c r="B4" s="46" t="n">
        <x:f>SUM(video_games_clean!H2:H51)</x:f>
        <x:v>2485.4499999999994</x:v>
      </x:c>
    </x:row>
    <x:row r="5">
      <x:c r="A5" t="str">
        <x:v>Año más antiguo</x:v>
      </x:c>
      <x:c r="B5" s="46" t="n">
        <x:f>MIN(video_games_clean!G2:G51)</x:f>
        <x:v>1984</x:v>
      </x:c>
    </x:row>
    <x:row r="6">
      <x:c r="A6" t="str">
        <x:v>Año más reciente</x:v>
      </x:c>
      <x:c r="B6" s="46" t="n">
        <x:f>MAX(video_games_clean!G2:G51)</x:f>
        <x:v>2024</x:v>
      </x:c>
    </x:row>
  </x:sheetData>
  <x:pageMargins left="0.7" right="0.7" top="0.75" bottom="0.75" header="0.3" footer="0.3"/>
</x:worksheet>
</file>